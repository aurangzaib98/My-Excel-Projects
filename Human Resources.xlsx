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https://justit831.sharepoint.com/sites/msteams_7a877e/Class Materials/Week 1 Introduction to Data Analysis and Excel/Day 4/"/>
    </mc:Choice>
  </mc:AlternateContent>
  <xr:revisionPtr revIDLastSave="229" documentId="8_{244C8E35-DAB8-414E-8848-0040370C00FC}" xr6:coauthVersionLast="47" xr6:coauthVersionMax="47" xr10:uidLastSave="{7F07956A-C1A1-4949-8C5C-F411E22138DD}"/>
  <bookViews>
    <workbookView xWindow="-28920" yWindow="-1530" windowWidth="29040" windowHeight="16440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2" l="1"/>
  <c r="K17" i="2"/>
  <c r="L17" i="2"/>
  <c r="M17" i="2"/>
  <c r="N17" i="2"/>
  <c r="O17" i="2"/>
  <c r="I17" i="2"/>
  <c r="B17" i="2"/>
  <c r="C9" i="2"/>
  <c r="D9" i="2"/>
  <c r="E9" i="2"/>
  <c r="F9" i="2"/>
  <c r="G9" i="2"/>
  <c r="H9" i="2"/>
  <c r="I9" i="2"/>
  <c r="I19" i="2" s="1"/>
  <c r="J9" i="2"/>
  <c r="J19" i="2" s="1"/>
  <c r="K9" i="2"/>
  <c r="K19" i="2" s="1"/>
  <c r="L9" i="2"/>
  <c r="L19" i="2" s="1"/>
  <c r="M9" i="2"/>
  <c r="M19" i="2" s="1"/>
  <c r="N9" i="2"/>
  <c r="N19" i="2" s="1"/>
  <c r="O9" i="2"/>
  <c r="O19" i="2" s="1"/>
  <c r="B9" i="2"/>
  <c r="B19" i="2" s="1"/>
  <c r="C18" i="3"/>
  <c r="C17" i="2"/>
  <c r="D17" i="2"/>
  <c r="E17" i="2"/>
  <c r="F17" i="2"/>
  <c r="G17" i="2"/>
  <c r="H17" i="2"/>
  <c r="H19" i="2" l="1"/>
  <c r="F19" i="2"/>
  <c r="D19" i="2"/>
  <c r="G19" i="2"/>
  <c r="E19" i="2"/>
  <c r="C19" i="2"/>
  <c r="E22" i="2" l="1"/>
  <c r="E21" i="2"/>
  <c r="E20" i="2"/>
  <c r="E23" i="2" s="1"/>
  <c r="M22" i="2"/>
  <c r="M21" i="2"/>
  <c r="M20" i="2"/>
  <c r="H22" i="2"/>
  <c r="H21" i="2"/>
  <c r="H20" i="2"/>
  <c r="C22" i="2"/>
  <c r="C21" i="2"/>
  <c r="C20" i="2"/>
  <c r="G22" i="2"/>
  <c r="G21" i="2"/>
  <c r="G20" i="2"/>
  <c r="K22" i="2"/>
  <c r="K21" i="2"/>
  <c r="K20" i="2"/>
  <c r="O22" i="2"/>
  <c r="O21" i="2"/>
  <c r="O20" i="2"/>
  <c r="F22" i="2"/>
  <c r="F21" i="2"/>
  <c r="F20" i="2"/>
  <c r="J22" i="2"/>
  <c r="J21" i="2"/>
  <c r="J20" i="2"/>
  <c r="N22" i="2"/>
  <c r="N21" i="2"/>
  <c r="N20" i="2"/>
  <c r="I22" i="2"/>
  <c r="I21" i="2"/>
  <c r="I20" i="2"/>
  <c r="D22" i="2"/>
  <c r="D21" i="2"/>
  <c r="D20" i="2"/>
  <c r="L22" i="2"/>
  <c r="L21" i="2"/>
  <c r="L20" i="2"/>
  <c r="C28" i="3"/>
  <c r="B28" i="3"/>
  <c r="C27" i="3"/>
  <c r="B27" i="3"/>
  <c r="B29" i="3" s="1"/>
  <c r="C23" i="3"/>
  <c r="B23" i="3"/>
  <c r="C22" i="3"/>
  <c r="B22" i="3"/>
  <c r="C21" i="3"/>
  <c r="B21" i="3"/>
  <c r="O23" i="2" l="1"/>
  <c r="K23" i="2"/>
  <c r="B24" i="3"/>
  <c r="C24" i="3"/>
  <c r="C29" i="3"/>
  <c r="J23" i="2"/>
  <c r="I23" i="2"/>
  <c r="H23" i="2"/>
  <c r="D23" i="2"/>
  <c r="C23" i="2"/>
  <c r="G23" i="2"/>
  <c r="L23" i="2"/>
  <c r="N23" i="2"/>
  <c r="F23" i="2"/>
  <c r="M23" i="2"/>
  <c r="B22" i="2"/>
  <c r="B21" i="2"/>
  <c r="B20" i="2"/>
  <c r="B23" i="2" l="1"/>
</calcChain>
</file>

<file path=xl/sharedStrings.xml><?xml version="1.0" encoding="utf-8"?>
<sst xmlns="http://schemas.openxmlformats.org/spreadsheetml/2006/main" count="93" uniqueCount="42">
  <si>
    <t>Payroll</t>
  </si>
  <si>
    <t>Payroll Rules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</si>
  <si>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</si>
  <si>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</si>
  <si>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</si>
  <si>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</si>
  <si>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</si>
  <si>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</si>
  <si>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</si>
  <si>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</si>
  <si>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</si>
  <si>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</si>
  <si>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</si>
  <si>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</si>
  <si>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</si>
  <si>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</si>
  <si>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</si>
  <si>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</si>
  <si>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</si>
  <si>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</si>
  <si>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</si>
  <si>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</si>
  <si>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</si>
  <si>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</si>
  <si>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</si>
  <si>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</si>
  <si>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</si>
  <si>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</si>
  <si>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</si>
  <si>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</si>
  <si>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Name</t>
  </si>
  <si>
    <t>Sex</t>
  </si>
  <si>
    <t>Salary</t>
  </si>
  <si>
    <t>Department</t>
  </si>
  <si>
    <t>M</t>
  </si>
  <si>
    <t>Sales</t>
  </si>
  <si>
    <t>Purchasing</t>
  </si>
  <si>
    <t>F</t>
  </si>
  <si>
    <t>Logistics</t>
  </si>
  <si>
    <t>Headcount</t>
  </si>
  <si>
    <t>Total: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</si>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</sst>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165" fontId="0" fillId="0" borderId="0" xfId="1" applyNumberFormat="1" applyFont="1"/>
    <xf numFmtId="0" fontId="6" fillId="0" borderId="5" xfId="8"/>
    <xf numFmtId="165" fontId="6" fillId="0" borderId="5" xfId="8" applyNumberFormat="1"/>
    <xf numFmtId="0" fontId="3" fillId="0" borderId="0" xfId="3" applyBorder="1"/>
    <xf numFmtId="9" fontId="5" fillId="0" borderId="0" xfId="6" applyNumberFormat="1"/>
    <xf numFmtId="164" fontId="0" fillId="0" borderId="0" xfId="1" applyFont="1"/>
    <xf numFmtId="164" fontId="6" fillId="0" borderId="5" xfId="8" applyNumberFormat="1"/>
    <xf numFmtId="0" fontId="6" fillId="0" borderId="0" xfId="0" applyFont="1"/>
    <xf numFmtId="164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  <xf numFmtId="0" fontId="7" fillId="0" borderId="0" xfId="9"/>
    <xf numFmtId="164" fontId="0" fillId="0" borderId="0" xfId="0" applyNumberFormat="1"/>
    <xf numFmtId="14" fontId="0" fillId="0" borderId="0" xfId="0" applyNumberFormat="1"/>
    <xf numFmtId="0" fontId="5" fillId="0" borderId="0" xfId="5" applyBorder="1"/>
    <xf numFmtId="21" fontId="0" fillId="0" borderId="0" xfId="0" applyNumberFormat="1"/>
    <xf numFmtId="22" fontId="0" fillId="0" borderId="0" xfId="0" applyNumberFormat="1"/>
  </cellXfs>
  <cellStyles count="10">
    <cellStyle name="Comma" xfId="1" builtinId="3"/>
    <cellStyle name="Heading 1" xfId="3" builtinId="16"/>
    <cellStyle name="Heading 2" xfId="4" builtinId="17"/>
    <cellStyle name="Heading 3" xfId="5" builtinId="18"/>
    <cellStyle name="Heading 4" xfId="6" builtinId="19"/>
    <cellStyle name="Hyperlink" xfId="9" builtinId="8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topLeftCell="A5" workbookViewId="0">
      <selection activeCell="N29" sqref="N29"/>
    </sheetView>
  </sheetViews>
  <sheetFormatPr defaultRowHeight="15"/>
  <cols>
    <col min="1" max="1" width="16.7109375" bestFit="1" customWidth="1"/>
    <col min="2" max="11" width="8.140625" bestFit="1" customWidth="1"/>
    <col min="12" max="14" width="7.7109375" customWidth="1"/>
    <col min="15" max="15" width="9.7109375" bestFit="1" customWidth="1"/>
  </cols>
  <sheetData>
    <row r="1" spans="1:16" ht="23.25">
      <c r="A1" s="1" t="s">
        <v>0</v>
      </c>
    </row>
    <row r="2" spans="1:16" ht="9.75" customHeight="1"/>
    <row r="3" spans="1:16" ht="19.5">
      <c r="A3" s="9" t="s">
        <v>1</v>
      </c>
      <c r="B3" s="9"/>
    </row>
    <row r="4" spans="1:16">
      <c r="A4" s="2" t="s">
        <v>2</v>
      </c>
      <c r="B4" s="10">
        <v>0.32</v>
      </c>
    </row>
    <row r="5" spans="1:16">
      <c r="A5" s="2" t="s">
        <v>3</v>
      </c>
      <c r="B5" s="10">
        <v>0.08</v>
      </c>
    </row>
    <row r="6" spans="1:16">
      <c r="A6" s="2" t="s">
        <v>4</v>
      </c>
      <c r="B6" s="10">
        <v>0.05</v>
      </c>
    </row>
    <row r="7" spans="1:16" ht="6.75" customHeight="1"/>
    <row r="8" spans="1:16" ht="96.75" customHeight="1">
      <c r="A8" s="16"/>
      <c r="B8" s="17" t="s">
        <v>5</v>
      </c>
      <c r="C8" s="17" t="s">
        <v>6</v>
      </c>
      <c r="D8" s="17" t="s">
        <v>7</v>
      </c>
      <c r="E8" s="17" t="s">
        <v>8</v>
      </c>
      <c r="F8" s="17" t="s">
        <v>9</v>
      </c>
      <c r="G8" s="17" t="s">
        <v>10</v>
      </c>
      <c r="H8" s="17" t="s">
        <v>11</v>
      </c>
      <c r="I8" s="17" t="s">
        <v>12</v>
      </c>
      <c r="J8" s="17" t="s">
        <v>13</v>
      </c>
      <c r="K8" s="17" t="s">
        <v>14</v>
      </c>
      <c r="L8" s="17" t="s">
        <v>15</v>
      </c>
      <c r="M8" s="17" t="s">
        <v>16</v>
      </c>
      <c r="N8" s="17" t="s">
        <v>17</v>
      </c>
      <c r="O8" s="17" t="s">
        <v>18</v>
      </c>
      <c r="P8" s="15"/>
    </row>
    <row r="9" spans="1:16">
      <c r="A9" s="5" t="s">
        <v>19</v>
      </c>
      <c r="B9" s="11">
        <f t="shared" ref="B9:O9" si="0">VLOOKUP(B8,Salary,3,FALSE)/40/52</f>
        <v>18.203846153846154</v>
      </c>
      <c r="C9" s="11">
        <f t="shared" si="0"/>
        <v>12.571153846153846</v>
      </c>
      <c r="D9" s="11">
        <f t="shared" si="0"/>
        <v>12.665865384615385</v>
      </c>
      <c r="E9" s="11">
        <f t="shared" si="0"/>
        <v>11.327884615384615</v>
      </c>
      <c r="F9" s="11">
        <f t="shared" si="0"/>
        <v>9.5615384615384613</v>
      </c>
      <c r="G9" s="11">
        <f t="shared" si="0"/>
        <v>15.82596153846154</v>
      </c>
      <c r="H9" s="11">
        <f t="shared" si="0"/>
        <v>9.1014423076923077</v>
      </c>
      <c r="I9" s="11">
        <f t="shared" si="0"/>
        <v>15.783173076923077</v>
      </c>
      <c r="J9" s="11">
        <f t="shared" si="0"/>
        <v>18.411538461538463</v>
      </c>
      <c r="K9" s="11">
        <f t="shared" si="0"/>
        <v>13.727884615384616</v>
      </c>
      <c r="L9" s="11">
        <f t="shared" si="0"/>
        <v>13.157692307692308</v>
      </c>
      <c r="M9" s="11">
        <f t="shared" si="0"/>
        <v>10.024038461538462</v>
      </c>
      <c r="N9" s="11">
        <f t="shared" si="0"/>
        <v>9.3004807692307701</v>
      </c>
      <c r="O9" s="11">
        <f t="shared" si="0"/>
        <v>18.345192307692308</v>
      </c>
    </row>
    <row r="10" spans="1:16" ht="8.25" customHeight="1"/>
    <row r="11" spans="1:16" ht="15.75" customHeight="1">
      <c r="A11" s="2" t="s">
        <v>20</v>
      </c>
    </row>
    <row r="12" spans="1:16">
      <c r="A12" t="s">
        <v>21</v>
      </c>
      <c r="B12" s="18">
        <v>9</v>
      </c>
      <c r="C12" s="18">
        <v>10</v>
      </c>
      <c r="D12" s="18">
        <v>10</v>
      </c>
      <c r="E12" s="18">
        <v>10</v>
      </c>
      <c r="F12" s="18">
        <v>7</v>
      </c>
      <c r="G12" s="18">
        <v>7</v>
      </c>
      <c r="H12" s="18">
        <v>7</v>
      </c>
      <c r="I12" s="18">
        <v>7</v>
      </c>
      <c r="J12" s="18">
        <v>7</v>
      </c>
      <c r="K12" s="18">
        <v>7</v>
      </c>
      <c r="L12" s="18">
        <v>7</v>
      </c>
      <c r="M12" s="18">
        <v>10</v>
      </c>
      <c r="N12" s="18">
        <v>8</v>
      </c>
      <c r="O12" s="18">
        <v>6</v>
      </c>
    </row>
    <row r="13" spans="1:16">
      <c r="A13" t="s">
        <v>22</v>
      </c>
      <c r="B13" s="18">
        <v>8</v>
      </c>
      <c r="C13" s="18">
        <v>9</v>
      </c>
      <c r="D13" s="18">
        <v>8</v>
      </c>
      <c r="E13" s="18">
        <v>6</v>
      </c>
      <c r="F13" s="18">
        <v>10</v>
      </c>
      <c r="G13" s="18">
        <v>10</v>
      </c>
      <c r="H13" s="18">
        <v>10</v>
      </c>
      <c r="I13" s="18">
        <v>7</v>
      </c>
      <c r="J13" s="18">
        <v>6</v>
      </c>
      <c r="K13" s="18">
        <v>10</v>
      </c>
      <c r="L13" s="18">
        <v>7</v>
      </c>
      <c r="M13" s="18">
        <v>8</v>
      </c>
      <c r="N13" s="18">
        <v>7</v>
      </c>
      <c r="O13" s="18">
        <v>9</v>
      </c>
    </row>
    <row r="14" spans="1:16">
      <c r="A14" t="s">
        <v>23</v>
      </c>
      <c r="B14" s="18">
        <v>10</v>
      </c>
      <c r="C14" s="18">
        <v>9</v>
      </c>
      <c r="D14" s="18">
        <v>8</v>
      </c>
      <c r="E14" s="18">
        <v>7</v>
      </c>
      <c r="F14" s="18">
        <v>9</v>
      </c>
      <c r="G14" s="18">
        <v>8</v>
      </c>
      <c r="H14" s="18">
        <v>6</v>
      </c>
      <c r="I14" s="18">
        <v>8</v>
      </c>
      <c r="J14" s="18">
        <v>7</v>
      </c>
      <c r="K14" s="18">
        <v>8</v>
      </c>
      <c r="L14" s="18">
        <v>8</v>
      </c>
      <c r="M14" s="18">
        <v>6</v>
      </c>
      <c r="N14" s="18">
        <v>6</v>
      </c>
      <c r="O14" s="18">
        <v>8</v>
      </c>
    </row>
    <row r="15" spans="1:16">
      <c r="A15" t="s">
        <v>24</v>
      </c>
      <c r="B15" s="18">
        <v>6</v>
      </c>
      <c r="C15" s="18">
        <v>8</v>
      </c>
      <c r="D15" s="18">
        <v>6</v>
      </c>
      <c r="E15" s="18">
        <v>10</v>
      </c>
      <c r="F15" s="18">
        <v>9</v>
      </c>
      <c r="G15" s="18">
        <v>7</v>
      </c>
      <c r="H15" s="18">
        <v>6</v>
      </c>
      <c r="I15" s="18">
        <v>6</v>
      </c>
      <c r="J15" s="18">
        <v>7</v>
      </c>
      <c r="K15" s="18">
        <v>8</v>
      </c>
      <c r="L15" s="18">
        <v>8</v>
      </c>
      <c r="M15" s="18">
        <v>6</v>
      </c>
      <c r="N15" s="18">
        <v>6</v>
      </c>
      <c r="O15" s="18">
        <v>9</v>
      </c>
    </row>
    <row r="16" spans="1:16">
      <c r="A16" t="s">
        <v>25</v>
      </c>
      <c r="B16" s="18">
        <v>10</v>
      </c>
      <c r="C16" s="18">
        <v>7</v>
      </c>
      <c r="D16" s="18">
        <v>10</v>
      </c>
      <c r="E16" s="18">
        <v>7</v>
      </c>
      <c r="F16" s="18">
        <v>9</v>
      </c>
      <c r="G16" s="18">
        <v>10</v>
      </c>
      <c r="H16" s="18">
        <v>9</v>
      </c>
      <c r="I16" s="18">
        <v>8</v>
      </c>
      <c r="J16" s="18">
        <v>8</v>
      </c>
      <c r="K16" s="18">
        <v>10</v>
      </c>
      <c r="L16" s="18">
        <v>8</v>
      </c>
      <c r="M16" s="18">
        <v>9</v>
      </c>
      <c r="N16" s="18">
        <v>10</v>
      </c>
      <c r="O16" s="18">
        <v>6</v>
      </c>
    </row>
    <row r="17" spans="1:18" ht="15.75" thickBot="1">
      <c r="A17" s="7" t="s">
        <v>26</v>
      </c>
      <c r="B17" s="7">
        <f>SUM(B12:B16)</f>
        <v>43</v>
      </c>
      <c r="C17" s="7">
        <f t="shared" ref="C17:O17" si="1">SUM(C12:C16)</f>
        <v>43</v>
      </c>
      <c r="D17" s="7">
        <f t="shared" si="1"/>
        <v>42</v>
      </c>
      <c r="E17" s="7">
        <f t="shared" si="1"/>
        <v>40</v>
      </c>
      <c r="F17" s="7">
        <f t="shared" si="1"/>
        <v>44</v>
      </c>
      <c r="G17" s="7">
        <f t="shared" si="1"/>
        <v>42</v>
      </c>
      <c r="H17" s="7">
        <f t="shared" si="1"/>
        <v>38</v>
      </c>
      <c r="I17" s="7">
        <f t="shared" si="1"/>
        <v>36</v>
      </c>
      <c r="J17" s="7">
        <f t="shared" si="1"/>
        <v>35</v>
      </c>
      <c r="K17" s="7">
        <f t="shared" si="1"/>
        <v>43</v>
      </c>
      <c r="L17" s="7">
        <f t="shared" si="1"/>
        <v>38</v>
      </c>
      <c r="M17" s="7">
        <f t="shared" si="1"/>
        <v>39</v>
      </c>
      <c r="N17" s="7">
        <f t="shared" si="1"/>
        <v>37</v>
      </c>
      <c r="O17" s="7">
        <f t="shared" si="1"/>
        <v>38</v>
      </c>
    </row>
    <row r="18" spans="1:18" ht="15.75" thickTop="1"/>
    <row r="19" spans="1:18">
      <c r="A19" t="s">
        <v>27</v>
      </c>
      <c r="B19" s="11">
        <f>B17*B9</f>
        <v>782.76538461538462</v>
      </c>
      <c r="C19" s="11">
        <f t="shared" ref="C19:O19" si="2">C17*C9</f>
        <v>540.55961538461543</v>
      </c>
      <c r="D19" s="11">
        <f t="shared" si="2"/>
        <v>531.96634615384619</v>
      </c>
      <c r="E19" s="11">
        <f t="shared" si="2"/>
        <v>453.11538461538464</v>
      </c>
      <c r="F19" s="11">
        <f t="shared" si="2"/>
        <v>420.7076923076923</v>
      </c>
      <c r="G19" s="11">
        <f t="shared" si="2"/>
        <v>664.69038461538469</v>
      </c>
      <c r="H19" s="11">
        <f t="shared" si="2"/>
        <v>345.8548076923077</v>
      </c>
      <c r="I19" s="11">
        <f t="shared" si="2"/>
        <v>568.19423076923078</v>
      </c>
      <c r="J19" s="11">
        <f t="shared" si="2"/>
        <v>644.40384615384619</v>
      </c>
      <c r="K19" s="11">
        <f t="shared" si="2"/>
        <v>590.29903846153843</v>
      </c>
      <c r="L19" s="11">
        <f t="shared" si="2"/>
        <v>499.99230769230769</v>
      </c>
      <c r="M19" s="11">
        <f t="shared" si="2"/>
        <v>390.9375</v>
      </c>
      <c r="N19" s="11">
        <f t="shared" si="2"/>
        <v>344.11778846153851</v>
      </c>
      <c r="O19" s="11">
        <f t="shared" si="2"/>
        <v>697.11730769230769</v>
      </c>
    </row>
    <row r="20" spans="1:18">
      <c r="A20" t="s">
        <v>2</v>
      </c>
      <c r="B20" s="11">
        <f>B19*$B$4</f>
        <v>250.48492307692308</v>
      </c>
      <c r="C20" s="11">
        <f t="shared" ref="C20:O20" si="3">C19*$B$4</f>
        <v>172.97907692307695</v>
      </c>
      <c r="D20" s="11">
        <f t="shared" si="3"/>
        <v>170.22923076923078</v>
      </c>
      <c r="E20" s="11">
        <f t="shared" si="3"/>
        <v>144.99692307692308</v>
      </c>
      <c r="F20" s="11">
        <f t="shared" si="3"/>
        <v>134.62646153846154</v>
      </c>
      <c r="G20" s="11">
        <f t="shared" si="3"/>
        <v>212.70092307692312</v>
      </c>
      <c r="H20" s="11">
        <f t="shared" si="3"/>
        <v>110.67353846153847</v>
      </c>
      <c r="I20" s="11">
        <f t="shared" si="3"/>
        <v>181.82215384615387</v>
      </c>
      <c r="J20" s="11">
        <f t="shared" si="3"/>
        <v>206.20923076923077</v>
      </c>
      <c r="K20" s="11">
        <f t="shared" si="3"/>
        <v>188.89569230769231</v>
      </c>
      <c r="L20" s="11">
        <f t="shared" si="3"/>
        <v>159.99753846153845</v>
      </c>
      <c r="M20" s="11">
        <f t="shared" si="3"/>
        <v>125.10000000000001</v>
      </c>
      <c r="N20" s="11">
        <f t="shared" si="3"/>
        <v>110.11769230769232</v>
      </c>
      <c r="O20" s="11">
        <f t="shared" si="3"/>
        <v>223.07753846153847</v>
      </c>
    </row>
    <row r="21" spans="1:18">
      <c r="A21" t="s">
        <v>3</v>
      </c>
      <c r="B21" s="11">
        <f>B19*$B$5</f>
        <v>62.62123076923077</v>
      </c>
      <c r="C21" s="11">
        <f t="shared" ref="C21:O21" si="4">C19*$B$5</f>
        <v>43.244769230769236</v>
      </c>
      <c r="D21" s="11">
        <f t="shared" si="4"/>
        <v>42.557307692307695</v>
      </c>
      <c r="E21" s="11">
        <f t="shared" si="4"/>
        <v>36.24923076923077</v>
      </c>
      <c r="F21" s="11">
        <f t="shared" si="4"/>
        <v>33.656615384615385</v>
      </c>
      <c r="G21" s="11">
        <f t="shared" si="4"/>
        <v>53.17523076923078</v>
      </c>
      <c r="H21" s="11">
        <f t="shared" si="4"/>
        <v>27.668384615384618</v>
      </c>
      <c r="I21" s="11">
        <f t="shared" si="4"/>
        <v>45.455538461538467</v>
      </c>
      <c r="J21" s="11">
        <f t="shared" si="4"/>
        <v>51.552307692307693</v>
      </c>
      <c r="K21" s="11">
        <f t="shared" si="4"/>
        <v>47.223923076923079</v>
      </c>
      <c r="L21" s="11">
        <f t="shared" si="4"/>
        <v>39.999384615384614</v>
      </c>
      <c r="M21" s="11">
        <f t="shared" si="4"/>
        <v>31.275000000000002</v>
      </c>
      <c r="N21" s="11">
        <f t="shared" si="4"/>
        <v>27.529423076923081</v>
      </c>
      <c r="O21" s="11">
        <f t="shared" si="4"/>
        <v>55.769384615384617</v>
      </c>
    </row>
    <row r="22" spans="1:18">
      <c r="A22" t="s">
        <v>4</v>
      </c>
      <c r="B22" s="11">
        <f>B19*$B$6</f>
        <v>39.138269230769232</v>
      </c>
      <c r="C22" s="11">
        <f t="shared" ref="C22:O22" si="5">C19*$B$6</f>
        <v>27.027980769230773</v>
      </c>
      <c r="D22" s="11">
        <f t="shared" si="5"/>
        <v>26.598317307692312</v>
      </c>
      <c r="E22" s="11">
        <f t="shared" si="5"/>
        <v>22.655769230769234</v>
      </c>
      <c r="F22" s="11">
        <f t="shared" si="5"/>
        <v>21.035384615384615</v>
      </c>
      <c r="G22" s="11">
        <f t="shared" si="5"/>
        <v>33.234519230769237</v>
      </c>
      <c r="H22" s="11">
        <f t="shared" si="5"/>
        <v>17.292740384615385</v>
      </c>
      <c r="I22" s="11">
        <f t="shared" si="5"/>
        <v>28.40971153846154</v>
      </c>
      <c r="J22" s="11">
        <f t="shared" si="5"/>
        <v>32.220192307692308</v>
      </c>
      <c r="K22" s="11">
        <f t="shared" si="5"/>
        <v>29.514951923076922</v>
      </c>
      <c r="L22" s="11">
        <f t="shared" si="5"/>
        <v>24.999615384615385</v>
      </c>
      <c r="M22" s="11">
        <f t="shared" si="5"/>
        <v>19.546875</v>
      </c>
      <c r="N22" s="11">
        <f t="shared" si="5"/>
        <v>17.205889423076925</v>
      </c>
      <c r="O22" s="11">
        <f t="shared" si="5"/>
        <v>34.855865384615385</v>
      </c>
    </row>
    <row r="23" spans="1:18" ht="15.75" thickBot="1">
      <c r="A23" s="7" t="s">
        <v>28</v>
      </c>
      <c r="B23" s="12">
        <f>B19-B20-B21-B22</f>
        <v>430.52096153846151</v>
      </c>
      <c r="C23" s="12">
        <f t="shared" ref="C23:O23" si="6">C19-C20-C21-C22</f>
        <v>297.30778846153845</v>
      </c>
      <c r="D23" s="12">
        <f t="shared" si="6"/>
        <v>292.58149038461545</v>
      </c>
      <c r="E23" s="12">
        <f t="shared" si="6"/>
        <v>249.21346153846156</v>
      </c>
      <c r="F23" s="12">
        <f t="shared" si="6"/>
        <v>231.38923076923072</v>
      </c>
      <c r="G23" s="12">
        <f t="shared" si="6"/>
        <v>365.57971153846154</v>
      </c>
      <c r="H23" s="12">
        <f t="shared" si="6"/>
        <v>190.22014423076922</v>
      </c>
      <c r="I23" s="12">
        <f t="shared" si="6"/>
        <v>312.50682692307691</v>
      </c>
      <c r="J23" s="12">
        <f t="shared" si="6"/>
        <v>354.42211538461544</v>
      </c>
      <c r="K23" s="12">
        <f t="shared" si="6"/>
        <v>324.66447115384608</v>
      </c>
      <c r="L23" s="12">
        <f t="shared" si="6"/>
        <v>274.99576923076927</v>
      </c>
      <c r="M23" s="12">
        <f t="shared" si="6"/>
        <v>215.01562499999997</v>
      </c>
      <c r="N23" s="12">
        <f t="shared" si="6"/>
        <v>189.26478365384617</v>
      </c>
      <c r="O23" s="12">
        <f t="shared" si="6"/>
        <v>383.4145192307692</v>
      </c>
      <c r="P23" s="20"/>
      <c r="Q23" s="20"/>
      <c r="R23" s="20"/>
    </row>
    <row r="24" spans="1:18" ht="15.75" thickTop="1">
      <c r="B24" s="11"/>
      <c r="O24" s="20"/>
    </row>
    <row r="25" spans="1:18">
      <c r="A25" s="13"/>
      <c r="B25" s="14"/>
    </row>
    <row r="26" spans="1:18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</sheetData>
  <sheetProtection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workbookViewId="0">
      <selection activeCell="J20" sqref="J20"/>
    </sheetView>
  </sheetViews>
  <sheetFormatPr defaultRowHeight="15"/>
  <cols>
    <col min="1" max="1" width="36.7109375" bestFit="1" customWidth="1"/>
    <col min="2" max="2" width="9.140625" bestFit="1" customWidth="1"/>
    <col min="3" max="3" width="10.85546875" bestFit="1" customWidth="1"/>
    <col min="4" max="4" width="13.7109375" bestFit="1" customWidth="1"/>
    <col min="5" max="5" width="12.85546875" bestFit="1" customWidth="1"/>
    <col min="6" max="6" width="12" bestFit="1" customWidth="1"/>
    <col min="7" max="7" width="18" bestFit="1" customWidth="1"/>
    <col min="8" max="8" width="11.140625" bestFit="1" customWidth="1"/>
    <col min="9" max="9" width="5.5703125" bestFit="1" customWidth="1"/>
    <col min="10" max="10" width="17" bestFit="1" customWidth="1"/>
    <col min="11" max="11" width="8.42578125" bestFit="1" customWidth="1"/>
  </cols>
  <sheetData>
    <row r="1" spans="1:10" ht="23.25">
      <c r="A1" s="1" t="s">
        <v>29</v>
      </c>
      <c r="E1" s="19"/>
    </row>
    <row r="2" spans="1:10">
      <c r="E2" s="19"/>
    </row>
    <row r="3" spans="1:10" ht="17.25">
      <c r="A3" s="4" t="s">
        <v>30</v>
      </c>
      <c r="B3" s="4" t="s">
        <v>31</v>
      </c>
      <c r="C3" s="4" t="s">
        <v>32</v>
      </c>
      <c r="D3" s="4" t="s">
        <v>33</v>
      </c>
    </row>
    <row r="4" spans="1:10">
      <c r="A4" t="s">
        <v>5</v>
      </c>
      <c r="B4" t="s">
        <v>34</v>
      </c>
      <c r="C4" s="6">
        <v>37864</v>
      </c>
      <c r="D4" t="s">
        <v>35</v>
      </c>
      <c r="F4" s="22"/>
      <c r="G4" s="22"/>
      <c r="H4" s="22"/>
    </row>
    <row r="5" spans="1:10">
      <c r="A5" t="s">
        <v>6</v>
      </c>
      <c r="B5" t="s">
        <v>34</v>
      </c>
      <c r="C5" s="6">
        <v>26148</v>
      </c>
      <c r="D5" t="s">
        <v>36</v>
      </c>
      <c r="F5" s="22"/>
      <c r="G5" s="22"/>
      <c r="H5" s="22"/>
    </row>
    <row r="6" spans="1:10">
      <c r="A6" t="s">
        <v>7</v>
      </c>
      <c r="B6" t="s">
        <v>37</v>
      </c>
      <c r="C6" s="6">
        <v>26345</v>
      </c>
      <c r="D6" t="s">
        <v>38</v>
      </c>
      <c r="F6" s="22"/>
      <c r="G6" s="22"/>
      <c r="H6" s="22"/>
    </row>
    <row r="7" spans="1:10">
      <c r="A7" t="s">
        <v>8</v>
      </c>
      <c r="B7" t="s">
        <v>37</v>
      </c>
      <c r="C7" s="6">
        <v>23562</v>
      </c>
      <c r="D7" t="s">
        <v>35</v>
      </c>
    </row>
    <row r="8" spans="1:10">
      <c r="A8" t="s">
        <v>9</v>
      </c>
      <c r="B8" t="s">
        <v>34</v>
      </c>
      <c r="C8" s="6">
        <v>19888</v>
      </c>
      <c r="D8" t="s">
        <v>38</v>
      </c>
    </row>
    <row r="9" spans="1:10">
      <c r="A9" t="s">
        <v>10</v>
      </c>
      <c r="B9" t="s">
        <v>34</v>
      </c>
      <c r="C9" s="6">
        <v>32918</v>
      </c>
      <c r="D9" t="s">
        <v>36</v>
      </c>
      <c r="J9" s="21"/>
    </row>
    <row r="10" spans="1:10">
      <c r="A10" t="s">
        <v>11</v>
      </c>
      <c r="B10" t="s">
        <v>34</v>
      </c>
      <c r="C10" s="6">
        <v>18931</v>
      </c>
      <c r="D10" t="s">
        <v>35</v>
      </c>
      <c r="J10" s="21"/>
    </row>
    <row r="11" spans="1:10">
      <c r="A11" t="s">
        <v>12</v>
      </c>
      <c r="B11" t="s">
        <v>34</v>
      </c>
      <c r="C11" s="6">
        <v>32829</v>
      </c>
      <c r="D11" t="s">
        <v>35</v>
      </c>
      <c r="J11" s="23"/>
    </row>
    <row r="12" spans="1:10">
      <c r="A12" t="s">
        <v>13</v>
      </c>
      <c r="B12" t="s">
        <v>34</v>
      </c>
      <c r="C12" s="6">
        <v>38296</v>
      </c>
      <c r="D12" t="s">
        <v>36</v>
      </c>
    </row>
    <row r="13" spans="1:10">
      <c r="A13" t="s">
        <v>14</v>
      </c>
      <c r="B13" t="s">
        <v>37</v>
      </c>
      <c r="C13" s="6">
        <v>28554</v>
      </c>
      <c r="D13" t="s">
        <v>35</v>
      </c>
      <c r="J13" s="24"/>
    </row>
    <row r="14" spans="1:10">
      <c r="A14" t="s">
        <v>15</v>
      </c>
      <c r="B14" t="s">
        <v>34</v>
      </c>
      <c r="C14" s="6">
        <v>27368</v>
      </c>
      <c r="D14" t="s">
        <v>38</v>
      </c>
      <c r="J14" s="21"/>
    </row>
    <row r="15" spans="1:10">
      <c r="A15" t="s">
        <v>16</v>
      </c>
      <c r="B15" t="s">
        <v>37</v>
      </c>
      <c r="C15" s="6">
        <v>20850</v>
      </c>
      <c r="D15" t="s">
        <v>36</v>
      </c>
    </row>
    <row r="16" spans="1:10">
      <c r="A16" t="s">
        <v>17</v>
      </c>
      <c r="B16" t="s">
        <v>34</v>
      </c>
      <c r="C16" s="6">
        <v>19345</v>
      </c>
      <c r="D16" t="s">
        <v>36</v>
      </c>
    </row>
    <row r="17" spans="1:4">
      <c r="A17" t="s">
        <v>18</v>
      </c>
      <c r="B17" t="s">
        <v>37</v>
      </c>
      <c r="C17" s="6">
        <v>38158</v>
      </c>
      <c r="D17" t="s">
        <v>35</v>
      </c>
    </row>
    <row r="18" spans="1:4">
      <c r="A18" s="7" t="s">
        <v>26</v>
      </c>
      <c r="B18" s="7"/>
      <c r="C18" s="8">
        <f>SUM(C4:C17)</f>
        <v>391056</v>
      </c>
      <c r="D18" s="7"/>
    </row>
    <row r="20" spans="1:4">
      <c r="A20" s="3" t="s">
        <v>33</v>
      </c>
      <c r="B20" s="3" t="s">
        <v>32</v>
      </c>
      <c r="C20" s="3" t="s">
        <v>39</v>
      </c>
    </row>
    <row r="21" spans="1:4">
      <c r="A21" t="s">
        <v>35</v>
      </c>
      <c r="B21" s="6">
        <f>SUMIF($D$4:$D$17,A21,$C$4:$C$17)</f>
        <v>179898</v>
      </c>
      <c r="C21">
        <f>COUNTIF($D$4:$D$17,A21)</f>
        <v>6</v>
      </c>
    </row>
    <row r="22" spans="1:4">
      <c r="A22" t="s">
        <v>36</v>
      </c>
      <c r="B22" s="6">
        <f t="shared" ref="B22:B23" si="0">SUMIF($D$4:$D$17,A22,$C$4:$C$17)</f>
        <v>137557</v>
      </c>
      <c r="C22">
        <f t="shared" ref="C22:C23" si="1">COUNTIF($D$4:$D$17,A22)</f>
        <v>5</v>
      </c>
    </row>
    <row r="23" spans="1:4">
      <c r="A23" t="s">
        <v>38</v>
      </c>
      <c r="B23" s="6">
        <f t="shared" si="0"/>
        <v>73601</v>
      </c>
      <c r="C23">
        <f t="shared" si="1"/>
        <v>3</v>
      </c>
    </row>
    <row r="24" spans="1:4">
      <c r="A24" s="7" t="s">
        <v>40</v>
      </c>
      <c r="B24" s="8">
        <f>SUM(B21:B23)</f>
        <v>391056</v>
      </c>
      <c r="C24" s="8">
        <f>SUM(C21:C23)</f>
        <v>14</v>
      </c>
    </row>
    <row r="26" spans="1:4">
      <c r="A26" s="3" t="s">
        <v>41</v>
      </c>
      <c r="B26" s="3" t="s">
        <v>32</v>
      </c>
      <c r="C26" s="3" t="s">
        <v>39</v>
      </c>
    </row>
    <row r="27" spans="1:4">
      <c r="A27" t="s">
        <v>34</v>
      </c>
      <c r="B27" s="6">
        <f>SUMIF($B$4:$B$17,A27,$C$4:$C$17)</f>
        <v>253587</v>
      </c>
      <c r="C27">
        <f>COUNTIF(B4:B17,A27)</f>
        <v>9</v>
      </c>
    </row>
    <row r="28" spans="1:4">
      <c r="A28" t="s">
        <v>37</v>
      </c>
      <c r="B28" s="6">
        <f>SUMIF($B$4:$B$17,A28,$C$4:$C$17)</f>
        <v>137469</v>
      </c>
      <c r="C28">
        <f>COUNTIF(B5:B17,A28)</f>
        <v>5</v>
      </c>
    </row>
    <row r="29" spans="1:4">
      <c r="A29" s="7" t="s">
        <v>40</v>
      </c>
      <c r="B29" s="8">
        <f>SUM(B27:B28)</f>
        <v>391056</v>
      </c>
      <c r="C29" s="8">
        <f>SUM(C27:C28)</f>
        <v>14</v>
      </c>
    </row>
  </sheetData>
  <dataValidations count="2">
    <dataValidation type="whole" allowBlank="1" showInputMessage="1" showErrorMessage="1" error="Enter an integer" prompt="Enter between 1-100000" sqref="G10:G21" xr:uid="{2816E357-1154-4530-958D-821BA6D1DA63}">
      <formula1>1</formula1>
      <formula2>100000</formula2>
    </dataValidation>
    <dataValidation type="list" allowBlank="1" showInputMessage="1" showErrorMessage="1" sqref="H10:H21" xr:uid="{B6F972AE-10F7-4D1C-82FA-F2D3CF253F36}">
      <formula1>"Eligible, Not Eligible"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BCDC2FE0E4F449937FF70B5FB3C2F1" ma:contentTypeVersion="11" ma:contentTypeDescription="Create a new document." ma:contentTypeScope="" ma:versionID="8bd66c17915bcf1def49971ef4dbe543">
  <xsd:schema xmlns:xsd="http://www.w3.org/2001/XMLSchema" xmlns:xs="http://www.w3.org/2001/XMLSchema" xmlns:p="http://schemas.microsoft.com/office/2006/metadata/properties" xmlns:ns2="6811f146-5ece-457c-a6bc-0ea6518a3e0a" xmlns:ns3="bd9411a3-9751-47b5-b7bd-64927d0cbedd" targetNamespace="http://schemas.microsoft.com/office/2006/metadata/properties" ma:root="true" ma:fieldsID="844f74ba7afc03df612f37649430b354" ns2:_="" ns3:_="">
    <xsd:import namespace="6811f146-5ece-457c-a6bc-0ea6518a3e0a"/>
    <xsd:import namespace="bd9411a3-9751-47b5-b7bd-64927d0cbe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1f146-5ece-457c-a6bc-0ea6518a3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9411a3-9751-47b5-b7bd-64927d0cbed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21aac50-ce4e-408f-8348-5cd22f7c988b}" ma:internalName="TaxCatchAll" ma:showField="CatchAllData" ma:web="bd9411a3-9751-47b5-b7bd-64927d0cbe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9411a3-9751-47b5-b7bd-64927d0cbedd" xsi:nil="true"/>
    <lcf76f155ced4ddcb4097134ff3c332f xmlns="6811f146-5ece-457c-a6bc-0ea6518a3e0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E7AA7E-E119-4E5C-B1F7-3CC9B536C10B}"/>
</file>

<file path=customXml/itemProps2.xml><?xml version="1.0" encoding="utf-8"?>
<ds:datastoreItem xmlns:ds="http://schemas.openxmlformats.org/officeDocument/2006/customXml" ds:itemID="{8BAF8E21-90E3-4695-8B8E-A7F7EC7E8757}"/>
</file>

<file path=customXml/itemProps3.xml><?xml version="1.0" encoding="utf-8"?>
<ds:datastoreItem xmlns:ds="http://schemas.openxmlformats.org/officeDocument/2006/customXml" ds:itemID="{6917997B-BA2A-4118-AECF-7E2FB65D80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Yusuf Satilmis</cp:lastModifiedBy>
  <cp:revision/>
  <dcterms:created xsi:type="dcterms:W3CDTF">2009-08-25T13:44:58Z</dcterms:created>
  <dcterms:modified xsi:type="dcterms:W3CDTF">2026-01-31T13:15:02Z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0x010100BDBCDC2FE0E4F449937FF70B5FB3C2F1</vt:lpwstr>
  </property>
  <property fmtid="{D5CDD505-2E9C-101B-9397-08002B2CF9AE}" pid="3" name="MediaServiceImageTags">
    <vt:lpwstr/>
  </property>
</Properties>
</file>