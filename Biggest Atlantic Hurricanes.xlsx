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0" documentId="8_{142375AF-1F2F-4E3C-9FAB-7CB08260448B}" xr6:coauthVersionLast="47" xr6:coauthVersionMax="47" xr10:uidLastSave="{00000000-0000-0000-0000-000000000000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4" i="1" a="1"/>
  <c r="F4" i="1"/>
  <c r="E8" i="1" a="1"/>
  <c r="E8" i="1"/>
  <c r="E5" i="1" a="1"/>
  <c r="E5" i="1"/>
  <c r="E6" i="1" a="1"/>
  <c r="E6" i="1"/>
  <c r="E7" i="1" a="1"/>
  <c r="E7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<sst xmlns="http://schemas.openxmlformats.org/spreadsheetml/2006/main" count="53" uniqueCount="52">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</sst>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topLeftCell="A9" workbookViewId="0">
      <selection activeCell="H22" sqref="H22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6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 t="str" cm="1">
        <f t="array" ref="E4">_xlfn.SWITCH(D4, 5, "157 and over", 4, "156", 3, "129", 2, "110", 1, "95")</f>
        <v>129</v>
      </c>
      <c r="F4" cm="1">
        <f t="array" ref="F4">_xlfn.SWITCH(D4, $H$6, $I$6, $H$7, $I$7, $H$8, $I$8, $H$9, $I$9, $H$10, $I$10)</f>
        <v>129</v>
      </c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 t="str" cm="1">
        <f t="array" ref="E5">_xlfn.SWITCH(D5, 5, "157 and over", 4, "156", 3, "129", 2, "110", 1, "95")</f>
        <v>129</v>
      </c>
      <c r="F5" cm="1">
        <f t="array" ref="F5">_xlfn.SWITCH(D5, $H$6, $I$6, $H$7, $I$7, $H$8, $I$8, $H$9, $I$9, $H$10, $I$10)</f>
        <v>129</v>
      </c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 t="str" cm="1">
        <f t="array" ref="E6">_xlfn.SWITCH(D6, 5, "157 and over", 4, "156", 3, "129", 2, "110", 1, "95")</f>
        <v>156</v>
      </c>
      <c r="F6" cm="1">
        <f t="array" ref="F6">_xlfn.SWITCH(D6, $H$6, $I$6, $H$7, $I$7, $H$8, $I$8, $H$9, $I$9, $H$10, $I$10)</f>
        <v>156</v>
      </c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 t="str" cm="1">
        <f t="array" ref="E7">_xlfn.SWITCH(D7, 5, "157 and over", 4, "156", 3, "129", 2, "110", 1, "95")</f>
        <v>156</v>
      </c>
      <c r="F7" cm="1">
        <f t="array" ref="F7">_xlfn.SWITCH(D7, $H$6, $I$6, $H$7, $I$7, $H$8, $I$8, $H$9, $I$9, $H$10, $I$10)</f>
        <v>156</v>
      </c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 t="str" cm="1">
        <f t="array" ref="E8">_xlfn.SWITCH(D8, 5, "157 and over", 4, "156", 3, "129", 2, "110", 1, "95")</f>
        <v>156</v>
      </c>
      <c r="F8" cm="1">
        <f t="array" ref="F8">_xlfn.SWITCH(D8, $H$6, $I$6, $H$7, $I$7, $H$8, $I$8, $H$9, $I$9, $H$10, $I$10)</f>
        <v>156</v>
      </c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 t="str" cm="1">
        <f t="array" ref="E9">_xlfn.SWITCH(D9, 5, "157 and over", 4, "156", 3, "129", 2, "110", 1, "95")</f>
        <v>129</v>
      </c>
      <c r="F9" cm="1">
        <f t="array" ref="F9">_xlfn.SWITCH(D9, $H$6, $I$6, $H$7, $I$7, $H$8, $I$8, $H$9, $I$9, $H$10, $I$10)</f>
        <v>129</v>
      </c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 5, "157 and over", 4, "156", 3, "129", 2, "110", 1, "95")</f>
        <v>157 and over</v>
      </c>
      <c r="F10" t="str" cm="1">
        <f t="array" ref="F10">_xlfn.SWITCH(D10, $H$6, $I$6, $H$7, $I$7, $H$8, $I$8, $H$9, $I$9, $H$10, $I$10)</f>
        <v>157 and over</v>
      </c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 t="str" cm="1">
        <f t="array" ref="E11">_xlfn.SWITCH(D11, 5, "157 and over", 4, "156", 3, "129", 2, "110", 1, "95")</f>
        <v>156</v>
      </c>
      <c r="F11" cm="1">
        <f t="array" ref="F11">_xlfn.SWITCH(D11, $H$6, $I$6, $H$7, $I$7, $H$8, $I$8, $H$9, $I$9, $H$10, $I$10)</f>
        <v>156</v>
      </c>
    </row>
    <row r="12" spans="1:9">
      <c r="A12" t="s">
        <v>26</v>
      </c>
      <c r="B12" t="s">
        <v>27</v>
      </c>
      <c r="C12" s="3">
        <v>7.5</v>
      </c>
      <c r="D12">
        <v>4</v>
      </c>
      <c r="E12" s="6" t="str" cm="1">
        <f t="array" ref="E12">_xlfn.SWITCH(D12, 5, "157 and over", 4, "156", 3, "129", 2, "110", 1, "95")</f>
        <v>156</v>
      </c>
      <c r="F12" cm="1">
        <f t="array" ref="F12">_xlfn.SWITCH(D12, $H$6, $I$6, $H$7, $I$7, $H$8, $I$8, $H$9, $I$9, $H$10, $I$10)</f>
        <v>156</v>
      </c>
    </row>
    <row r="13" spans="1:9">
      <c r="A13" t="s">
        <v>28</v>
      </c>
      <c r="B13" t="s">
        <v>29</v>
      </c>
      <c r="C13" s="3">
        <v>40</v>
      </c>
      <c r="D13">
        <v>5</v>
      </c>
      <c r="E13" s="6" t="str" cm="1">
        <f t="array" ref="E13">_xlfn.SWITCH(D13, 5, "157 and over", 4, "156", 3, "129", 2, "110", 1, "95")</f>
        <v>157 and over</v>
      </c>
      <c r="F13" t="str" cm="1">
        <f t="array" ref="F13">_xlfn.SWITCH(D13, $H$6, $I$6, $H$7, $I$7, $H$8, $I$8, $H$9, $I$9, $H$10, $I$10)</f>
        <v>157 and over</v>
      </c>
    </row>
    <row r="14" spans="1:9">
      <c r="A14" t="s">
        <v>30</v>
      </c>
      <c r="B14" t="s">
        <v>31</v>
      </c>
      <c r="C14" s="3">
        <v>2.6</v>
      </c>
      <c r="D14">
        <v>2</v>
      </c>
      <c r="E14" s="6" t="str" cm="1">
        <f t="array" ref="E14">_xlfn.SWITCH(D14, 5, "157 and over", 4, "156", 3, "129", 2, "110", 1, "95")</f>
        <v>110</v>
      </c>
      <c r="F14" cm="1">
        <f t="array" ref="F14">_xlfn.SWITCH(D14, $H$6, $I$6, $H$7, $I$7, $H$8, $I$8, $H$9, $I$9, $H$10, $I$10)</f>
        <v>110</v>
      </c>
    </row>
    <row r="15" spans="1:9">
      <c r="A15" t="s">
        <v>32</v>
      </c>
      <c r="B15" t="s">
        <v>33</v>
      </c>
      <c r="C15" s="3">
        <v>16</v>
      </c>
      <c r="D15">
        <v>1</v>
      </c>
      <c r="E15" s="6" t="str" cm="1">
        <f t="array" ref="E15">_xlfn.SWITCH(D15, 5, "157 and over", 4, "156", 3, "129", 2, "110", 1, "95")</f>
        <v>95</v>
      </c>
      <c r="F15" cm="1">
        <f t="array" ref="F15">_xlfn.SWITCH(D15, $H$6, $I$6, $H$7, $I$7, $H$8, $I$8, $H$9, $I$9, $H$10, $I$10)</f>
        <v>95</v>
      </c>
    </row>
    <row r="16" spans="1:9">
      <c r="A16" t="s">
        <v>34</v>
      </c>
      <c r="B16" t="s">
        <v>35</v>
      </c>
      <c r="C16" s="3">
        <v>529</v>
      </c>
      <c r="D16">
        <v>4</v>
      </c>
      <c r="E16" s="6" t="str" cm="1">
        <f t="array" ref="E16">_xlfn.SWITCH(D16, 5, "157 and over", 4, "156", 3, "129", 2, "110", 1, "95")</f>
        <v>156</v>
      </c>
      <c r="F16" cm="1">
        <f t="array" ref="F16">_xlfn.SWITCH(D16, $H$6, $I$6, $H$7, $I$7, $H$8, $I$8, $H$9, $I$9, $H$10, $I$10)</f>
        <v>156</v>
      </c>
    </row>
    <row r="17" spans="1:6">
      <c r="A17" t="s">
        <v>36</v>
      </c>
      <c r="B17" t="s">
        <v>37</v>
      </c>
      <c r="C17" s="3">
        <v>1800</v>
      </c>
      <c r="D17">
        <v>2</v>
      </c>
      <c r="E17" s="6" t="str" cm="1">
        <f t="array" ref="E17">_xlfn.SWITCH(D17, 5, "157 and over", 4, "156", 3, "129", 2, "110", 1, "95")</f>
        <v>110</v>
      </c>
      <c r="F17" cm="1">
        <f t="array" ref="F17">_xlfn.SWITCH(D17, $H$6, $I$6, $H$7, $I$7, $H$8, $I$8, $H$9, $I$9, $H$10, $I$10)</f>
        <v>110</v>
      </c>
    </row>
    <row r="18" spans="1:6">
      <c r="A18" t="s">
        <v>38</v>
      </c>
      <c r="B18" t="s">
        <v>39</v>
      </c>
      <c r="C18" s="3">
        <v>1540</v>
      </c>
      <c r="D18">
        <v>5</v>
      </c>
      <c r="E18" s="6" t="str" cm="1">
        <f t="array" ref="E18">_xlfn.SWITCH(D18, 5, "157 and over", 4, "156", 3, "129", 2, "110", 1, "95")</f>
        <v>157 and over</v>
      </c>
      <c r="F18" t="str" cm="1">
        <f t="array" ref="F18">_xlfn.SWITCH(D18, $H$6, $I$6, $H$7, $I$7, $H$8, $I$8, $H$9, $I$9, $H$10, $I$10)</f>
        <v>157 and over</v>
      </c>
    </row>
    <row r="19" spans="1:6">
      <c r="A19" t="s">
        <v>40</v>
      </c>
      <c r="B19" t="s">
        <v>41</v>
      </c>
      <c r="C19" s="3">
        <v>594</v>
      </c>
      <c r="D19">
        <v>1</v>
      </c>
      <c r="E19" s="6" t="str" cm="1">
        <f t="array" ref="E19">_xlfn.SWITCH(D19, 5, "157 and over", 4, "156", 3, "129", 2, "110", 1, "95")</f>
        <v>95</v>
      </c>
      <c r="F19" cm="1">
        <f t="array" ref="F19">_xlfn.SWITCH(D19, $H$6, $I$6, $H$7, $I$7, $H$8, $I$8, $H$9, $I$9, $H$10, $I$10)</f>
        <v>95</v>
      </c>
    </row>
    <row r="20" spans="1:6">
      <c r="A20" t="s">
        <v>42</v>
      </c>
      <c r="B20" t="s">
        <v>43</v>
      </c>
      <c r="C20" s="3">
        <v>6200</v>
      </c>
      <c r="D20">
        <v>5</v>
      </c>
      <c r="E20" s="6" t="str" cm="1">
        <f t="array" ref="E20">_xlfn.SWITCH(D20, 5, "157 and over", 4, "156", 3, "129", 2, "110", 1, "95")</f>
        <v>157 and over</v>
      </c>
      <c r="F20" t="str" cm="1">
        <f t="array" ref="F20">_xlfn.SWITCH(D20, $H$6, $I$6, $H$7, $I$7, $H$8, $I$8, $H$9, $I$9, $H$10, $I$10)</f>
        <v>157 and over</v>
      </c>
    </row>
    <row r="21" spans="1:6">
      <c r="A21" t="s">
        <v>44</v>
      </c>
      <c r="B21" t="s">
        <v>45</v>
      </c>
      <c r="C21" s="3">
        <v>7660</v>
      </c>
      <c r="D21">
        <v>3</v>
      </c>
      <c r="E21" s="6" t="str" cm="1">
        <f t="array" ref="E21">_xlfn.SWITCH(D21, 5, "157 and over", 4, "156", 3, "129", 2, "110", 1, "95")</f>
        <v>129</v>
      </c>
      <c r="F21" cm="1">
        <f t="array" ref="F21">_xlfn.SWITCH(D21, $H$6, $I$6, $H$7, $I$7, $H$8, $I$8, $H$9, $I$9, $H$10, $I$10)</f>
        <v>129</v>
      </c>
    </row>
    <row r="22" spans="1:6">
      <c r="A22" t="s">
        <v>46</v>
      </c>
      <c r="B22" t="s">
        <v>47</v>
      </c>
      <c r="C22" s="3">
        <v>108000</v>
      </c>
      <c r="D22">
        <v>5</v>
      </c>
      <c r="E22" s="6" t="str" cm="1">
        <f t="array" ref="E22">_xlfn.SWITCH(D22, 5, "157 and over", 4, "156", 3, "129", 2, "110", 1, "95")</f>
        <v>157 and over</v>
      </c>
      <c r="F22" t="str" cm="1">
        <f t="array" ref="F22">_xlfn.SWITCH(D22, $H$6, $I$6, $H$7, $I$7, $H$8, $I$8, $H$9, $I$9, $H$10, $I$10)</f>
        <v>157 and over</v>
      </c>
    </row>
    <row r="23" spans="1:6">
      <c r="A23" t="s">
        <v>48</v>
      </c>
      <c r="B23" t="s">
        <v>49</v>
      </c>
      <c r="C23" s="3">
        <v>3960</v>
      </c>
      <c r="D23">
        <v>1</v>
      </c>
      <c r="E23" s="6" t="str" cm="1">
        <f t="array" ref="E23">_xlfn.SWITCH(D23, 5, "157 and over", 4, "156", 3, "129", 2, "110", 1, "95")</f>
        <v>95</v>
      </c>
      <c r="F23" cm="1">
        <f t="array" ref="F23">_xlfn.SWITCH(D23, $H$6, $I$6, $H$7, $I$7, $H$8, $I$8, $H$9, $I$9, $H$10, $I$10)</f>
        <v>95</v>
      </c>
    </row>
    <row r="24" spans="1:6">
      <c r="A24" t="s">
        <v>50</v>
      </c>
      <c r="B24" t="s">
        <v>51</v>
      </c>
      <c r="C24" s="3">
        <v>300000</v>
      </c>
      <c r="D24">
        <v>5</v>
      </c>
      <c r="E24" s="6" t="str" cm="1">
        <f t="array" ref="E24">_xlfn.SWITCH(D24, 5, "157 and over", 4, "156", 3, "129", 2, "110", 1, "95")</f>
        <v>157 and over</v>
      </c>
      <c r="F24" t="str" cm="1">
        <f t="array" ref="F24">_xlfn.SWITCH(D24, $H$6, $I$6, $H$7, $I$7, $H$8, $I$8, $H$9, $I$9, $H$10, $I$10)</f>
        <v>157 and over</v>
      </c>
    </row>
    <row r="25" spans="1:6">
      <c r="C25" s="3"/>
    </row>
    <row r="26" spans="1:6">
      <c r="C26" s="3"/>
    </row>
    <row r="27" spans="1:6">
      <c r="C27" s="3"/>
    </row>
    <row r="28" spans="1:6">
      <c r="C28" s="3"/>
    </row>
    <row r="29" spans="1:6">
      <c r="C29" s="3"/>
    </row>
    <row r="30" spans="1:6">
      <c r="C30" s="3"/>
    </row>
    <row r="31" spans="1:6">
      <c r="C31" s="3"/>
    </row>
    <row r="32" spans="1:6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7" ma:contentTypeDescription="Create a new document." ma:contentTypeScope="" ma:versionID="ce60078f05aacf8480c9f7103e5ef94c">
  <xsd:schema xmlns:xsd="http://www.w3.org/2001/XMLSchema" xmlns:xs="http://www.w3.org/2001/XMLSchema" xmlns:p="http://schemas.microsoft.com/office/2006/metadata/properties" xmlns:ns2="6811f146-5ece-457c-a6bc-0ea6518a3e0a" targetNamespace="http://schemas.microsoft.com/office/2006/metadata/properties" ma:root="true" ma:fieldsID="3ded02e8ddade03e654efb45ab4fb2b1" ns2:_="">
    <xsd:import namespace="6811f146-5ece-457c-a6bc-0ea6518a3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A8942894-23C9-40FA-AA12-035E1CE86867}"/>
</file>

<file path=customXml/itemProps2.xml><?xml version="1.0" encoding="utf-8"?>
<ds:datastoreItem xmlns:ds="http://schemas.openxmlformats.org/officeDocument/2006/customXml" ds:itemID="{3D4E24B2-8FB1-41D6-A0B3-EA0C5EC943D2}"/>
</file>

<file path=customXml/itemProps3.xml><?xml version="1.0" encoding="utf-8"?>
<ds:datastoreItem xmlns:ds="http://schemas.openxmlformats.org/officeDocument/2006/customXml" ds:itemID="{00DA10D2-1FFF-490D-B4DA-8729470684F4}"/>
</file>

<file path=customXml/itemProps4.xml><?xml version="1.0" encoding="utf-8"?>
<ds:datastoreItem xmlns:ds="http://schemas.openxmlformats.org/officeDocument/2006/customXml" ds:itemID="{DCED2CD7-AB5E-404D-849A-F793ABBC6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2026-02-07T22:32:47Z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</Properties>
</file>